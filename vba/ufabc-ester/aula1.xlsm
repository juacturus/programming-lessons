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/>
  <bookViews>
    <workbookView xWindow="0" yWindow="0" windowWidth="11685" windowHeight="2595" activeTab="1"/>
  </bookViews>
  <sheets>
    <sheet name="Planilha1" sheetId="1" r:id="rId1"/>
    <sheet name="Plan1" sheetId="2" r:id="rId2"/>
    <sheet name="Plan2" sheetId="3" r:id="rId3"/>
    <sheet name="Plan3" sheetId="4" r:id="rId4"/>
    <sheet name="Plan4" sheetId="5" r:id="rId5"/>
    <sheet name="Plan5" sheetId="6" r:id="rId6"/>
    <sheet name="Plan6" sheetId="7" r:id="rId7"/>
    <sheet name="Plan7" sheetId="8" r:id="rId8"/>
  </sheets>
  <calcPr calcId="145621"/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2" i="1"/>
</calcChain>
</file>

<file path=xl/sharedStrings.xml><?xml version="1.0" encoding="utf-8"?>
<sst xmlns="http://schemas.openxmlformats.org/spreadsheetml/2006/main" count="25" uniqueCount="25">
  <si>
    <t>CPF</t>
  </si>
  <si>
    <t>DESCRIÇÃO</t>
  </si>
  <si>
    <t>RESTRIÇÃO</t>
  </si>
  <si>
    <t>NÃO RESTRIÇÃO</t>
  </si>
  <si>
    <t>SERASA</t>
  </si>
  <si>
    <t>Cor</t>
  </si>
  <si>
    <t>Vermelho</t>
  </si>
  <si>
    <t>Verde</t>
  </si>
  <si>
    <t>R</t>
  </si>
  <si>
    <t>G</t>
  </si>
  <si>
    <t>B</t>
  </si>
  <si>
    <t>Produto</t>
  </si>
  <si>
    <t>Consórcio</t>
  </si>
  <si>
    <t>Cartões</t>
  </si>
  <si>
    <t>Cheque</t>
  </si>
  <si>
    <t>Conta Corrente</t>
  </si>
  <si>
    <t>Data de abertura</t>
  </si>
  <si>
    <t>Responável</t>
  </si>
  <si>
    <t>Gabriel</t>
  </si>
  <si>
    <t>Ester</t>
  </si>
  <si>
    <t>Reginaldo</t>
  </si>
  <si>
    <t>Maria</t>
  </si>
  <si>
    <t>Valor Financeiro</t>
  </si>
  <si>
    <t>500.00</t>
  </si>
  <si>
    <t>49387.00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</si>
</sst>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-* #,##0.00_-;\-* #,##0.00_-;_-* &quot;-&quot;??_-;_-@_-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993E37"/>
        <bgColor indexed="64"/>
      </patternFill>
    </fill>
    <fill>
      <patternFill patternType="solid">
        <fgColor rgb="FF5EF0C2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4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3" fontId="0" fillId="0" borderId="3" xfId="0" applyNumberFormat="1" applyBorder="1"/>
    <xf numFmtId="3" fontId="0" fillId="0" borderId="5" xfId="0" applyNumberFormat="1" applyBorder="1"/>
    <xf numFmtId="0" fontId="0" fillId="0" borderId="0" xfId="0" applyFill="1"/>
    <xf numFmtId="0" fontId="1" fillId="2" borderId="7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4" borderId="4" xfId="0" applyFill="1" applyBorder="1"/>
    <xf numFmtId="0" fontId="0" fillId="3" borderId="4" xfId="0" applyFill="1" applyBorder="1"/>
    <xf numFmtId="0" fontId="0" fillId="4" borderId="6" xfId="0" applyFill="1" applyBorder="1"/>
    <xf numFmtId="14" fontId="0" fillId="0" borderId="0" xfId="0" applyNumberFormat="1"/>
    <xf numFmtId="0" fontId="0" fillId="0" borderId="0" xfId="1" applyNumberFormat="1" applyFont="1"/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colors>
    <mruColors>
      <color rgb="FF993E37"/>
      <color rgb="FF922E2E"/>
      <color rgb="FF172E5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H145"/>
  <sheetViews>
    <sheetView workbookViewId="0"/>
  </sheetViews>
  <sheetFormatPr defaultRowHeight="15" x14ac:dyDescent="0.25"/>
  <cols>
    <col min="1" max="1" width="11.85546875" customWidth="1"/>
    <col min="2" max="2" width="28.42578125" customWidth="1"/>
    <col min="3" max="3" width="9.140625" customWidth="1"/>
    <col min="4" max="4" width="25.140625" customWidth="1"/>
    <col min="5" max="5" width="9.85546875" bestFit="1" customWidth="1"/>
  </cols>
  <sheetData>
    <row r="1" spans="1:8" x14ac:dyDescent="0.25">
      <c r="A1" s="1" t="s">
        <v>0</v>
      </c>
      <c r="B1" s="2" t="s">
        <v>4</v>
      </c>
      <c r="D1" s="6" t="s">
        <v>1</v>
      </c>
      <c r="E1" s="6" t="s">
        <v>5</v>
      </c>
      <c r="F1" s="6" t="s">
        <v>8</v>
      </c>
      <c r="G1" s="6" t="s">
        <v>9</v>
      </c>
      <c r="H1" s="6" t="s">
        <v>10</v>
      </c>
    </row>
    <row r="2" spans="1:8" x14ac:dyDescent="0.25">
      <c r="A2" s="3">
        <v>441928728</v>
      </c>
      <c r="B2" s="9" t="str">
        <f>IF($C2&lt; 0.5,$D$2,$D$3)</f>
        <v>NÃO RESTRIÇÃO</v>
      </c>
      <c r="C2">
        <v>0.73298445818259084</v>
      </c>
      <c r="D2" s="7" t="s">
        <v>2</v>
      </c>
      <c r="E2" s="7" t="s">
        <v>6</v>
      </c>
      <c r="F2" s="8">
        <v>153</v>
      </c>
      <c r="G2" s="7">
        <v>62</v>
      </c>
      <c r="H2" s="7">
        <v>55</v>
      </c>
    </row>
    <row r="3" spans="1:8" x14ac:dyDescent="0.25">
      <c r="A3" s="3">
        <v>441928729</v>
      </c>
      <c r="B3" s="10" t="str">
        <f t="shared" ref="B3:B66" si="0">IF($C3&lt; 0.5,$D$2,$D$3)</f>
        <v>RESTRIÇÃO</v>
      </c>
      <c r="C3">
        <v>0.24405046096634342</v>
      </c>
      <c r="D3" s="7" t="s">
        <v>3</v>
      </c>
      <c r="E3" s="7" t="s">
        <v>7</v>
      </c>
      <c r="F3" s="7">
        <v>94</v>
      </c>
      <c r="G3" s="7">
        <v>240</v>
      </c>
      <c r="H3" s="8">
        <v>194</v>
      </c>
    </row>
    <row r="4" spans="1:8" x14ac:dyDescent="0.25">
      <c r="A4" s="3">
        <v>441928730</v>
      </c>
      <c r="B4" s="9" t="str">
        <f t="shared" si="0"/>
        <v>NÃO RESTRIÇÃO</v>
      </c>
      <c r="C4">
        <v>0.65588925919712193</v>
      </c>
    </row>
    <row r="5" spans="1:8" x14ac:dyDescent="0.25">
      <c r="A5" s="3">
        <v>441928731</v>
      </c>
      <c r="B5" s="9" t="str">
        <f t="shared" si="0"/>
        <v>NÃO RESTRIÇÃO</v>
      </c>
      <c r="C5">
        <v>0.97474527612785078</v>
      </c>
    </row>
    <row r="6" spans="1:8" x14ac:dyDescent="0.25">
      <c r="A6" s="3">
        <v>441928732</v>
      </c>
      <c r="B6" s="9" t="str">
        <f t="shared" si="0"/>
        <v>NÃO RESTRIÇÃO</v>
      </c>
      <c r="C6">
        <v>0.59602274223011986</v>
      </c>
    </row>
    <row r="7" spans="1:8" x14ac:dyDescent="0.25">
      <c r="A7" s="3">
        <v>441928733</v>
      </c>
      <c r="B7" s="9" t="str">
        <f t="shared" si="0"/>
        <v>NÃO RESTRIÇÃO</v>
      </c>
      <c r="C7">
        <v>0.75515326097971003</v>
      </c>
    </row>
    <row r="8" spans="1:8" x14ac:dyDescent="0.25">
      <c r="A8" s="3">
        <v>441928734</v>
      </c>
      <c r="B8" s="9" t="str">
        <f t="shared" si="0"/>
        <v>NÃO RESTRIÇÃO</v>
      </c>
      <c r="C8">
        <v>0.87814995832584364</v>
      </c>
    </row>
    <row r="9" spans="1:8" x14ac:dyDescent="0.25">
      <c r="A9" s="3">
        <v>441928735</v>
      </c>
      <c r="B9" s="10" t="str">
        <f t="shared" si="0"/>
        <v>RESTRIÇÃO</v>
      </c>
      <c r="C9">
        <v>0.27979119664437635</v>
      </c>
      <c r="D9" s="5"/>
    </row>
    <row r="10" spans="1:8" x14ac:dyDescent="0.25">
      <c r="A10" s="3">
        <v>441928736</v>
      </c>
      <c r="B10" s="9" t="str">
        <f t="shared" si="0"/>
        <v>NÃO RESTRIÇÃO</v>
      </c>
      <c r="C10">
        <v>0.92175285113678196</v>
      </c>
    </row>
    <row r="11" spans="1:8" x14ac:dyDescent="0.25">
      <c r="A11" s="3">
        <v>441928737</v>
      </c>
      <c r="B11" s="9" t="str">
        <f t="shared" si="0"/>
        <v>NÃO RESTRIÇÃO</v>
      </c>
      <c r="C11">
        <v>0.87173438327319086</v>
      </c>
    </row>
    <row r="12" spans="1:8" x14ac:dyDescent="0.25">
      <c r="A12" s="3">
        <v>441928738</v>
      </c>
      <c r="B12" s="10" t="str">
        <f t="shared" si="0"/>
        <v>RESTRIÇÃO</v>
      </c>
      <c r="C12">
        <v>3.3753827584061757E-2</v>
      </c>
    </row>
    <row r="13" spans="1:8" x14ac:dyDescent="0.25">
      <c r="A13" s="3">
        <v>441928739</v>
      </c>
      <c r="B13" s="10" t="str">
        <f t="shared" si="0"/>
        <v>RESTRIÇÃO</v>
      </c>
      <c r="C13">
        <v>0.35476731312012988</v>
      </c>
    </row>
    <row r="14" spans="1:8" x14ac:dyDescent="0.25">
      <c r="A14" s="3">
        <v>441928740</v>
      </c>
      <c r="B14" s="10" t="str">
        <f t="shared" si="0"/>
        <v>RESTRIÇÃO</v>
      </c>
      <c r="C14">
        <v>0.37663759694146925</v>
      </c>
    </row>
    <row r="15" spans="1:8" x14ac:dyDescent="0.25">
      <c r="A15" s="3">
        <v>441928741</v>
      </c>
      <c r="B15" s="10" t="str">
        <f t="shared" si="0"/>
        <v>RESTRIÇÃO</v>
      </c>
      <c r="C15">
        <v>0.14205019964644383</v>
      </c>
    </row>
    <row r="16" spans="1:8" x14ac:dyDescent="0.25">
      <c r="A16" s="3">
        <v>441928742</v>
      </c>
      <c r="B16" s="10" t="str">
        <f t="shared" si="0"/>
        <v>RESTRIÇÃO</v>
      </c>
      <c r="C16">
        <v>0.47557662150161228</v>
      </c>
    </row>
    <row r="17" spans="1:3" x14ac:dyDescent="0.25">
      <c r="A17" s="3">
        <v>441928743</v>
      </c>
      <c r="B17" s="10" t="str">
        <f t="shared" si="0"/>
        <v>RESTRIÇÃO</v>
      </c>
      <c r="C17">
        <v>0.39377303833824229</v>
      </c>
    </row>
    <row r="18" spans="1:3" x14ac:dyDescent="0.25">
      <c r="A18" s="3">
        <v>441928744</v>
      </c>
      <c r="B18" s="9" t="str">
        <f t="shared" si="0"/>
        <v>NÃO RESTRIÇÃO</v>
      </c>
      <c r="C18">
        <v>0.59993913839851809</v>
      </c>
    </row>
    <row r="19" spans="1:3" x14ac:dyDescent="0.25">
      <c r="A19" s="3">
        <v>441928745</v>
      </c>
      <c r="B19" s="10" t="str">
        <f t="shared" si="0"/>
        <v>RESTRIÇÃO</v>
      </c>
      <c r="C19">
        <v>0.40213982473749588</v>
      </c>
    </row>
    <row r="20" spans="1:3" x14ac:dyDescent="0.25">
      <c r="A20" s="3">
        <v>441928746</v>
      </c>
      <c r="B20" s="10" t="str">
        <f t="shared" si="0"/>
        <v>RESTRIÇÃO</v>
      </c>
      <c r="C20">
        <v>0.32397827866939777</v>
      </c>
    </row>
    <row r="21" spans="1:3" x14ac:dyDescent="0.25">
      <c r="A21" s="3">
        <v>441928747</v>
      </c>
      <c r="B21" s="10" t="str">
        <f t="shared" si="0"/>
        <v>RESTRIÇÃO</v>
      </c>
      <c r="C21">
        <v>0.10290365639757781</v>
      </c>
    </row>
    <row r="22" spans="1:3" x14ac:dyDescent="0.25">
      <c r="A22" s="3">
        <v>441928748</v>
      </c>
      <c r="B22" s="10" t="str">
        <f t="shared" si="0"/>
        <v>RESTRIÇÃO</v>
      </c>
      <c r="C22">
        <v>3.0237076139275065E-2</v>
      </c>
    </row>
    <row r="23" spans="1:3" x14ac:dyDescent="0.25">
      <c r="A23" s="3">
        <v>441928749</v>
      </c>
      <c r="B23" s="9" t="str">
        <f t="shared" si="0"/>
        <v>NÃO RESTRIÇÃO</v>
      </c>
      <c r="C23">
        <v>0.83784808354547413</v>
      </c>
    </row>
    <row r="24" spans="1:3" x14ac:dyDescent="0.25">
      <c r="A24" s="3">
        <v>441928750</v>
      </c>
      <c r="B24" s="9" t="str">
        <f t="shared" si="0"/>
        <v>NÃO RESTRIÇÃO</v>
      </c>
      <c r="C24">
        <v>0.51474481338344169</v>
      </c>
    </row>
    <row r="25" spans="1:3" x14ac:dyDescent="0.25">
      <c r="A25" s="3">
        <v>441928751</v>
      </c>
      <c r="B25" s="10" t="str">
        <f t="shared" si="0"/>
        <v>RESTRIÇÃO</v>
      </c>
      <c r="C25">
        <v>0.18123335414291886</v>
      </c>
    </row>
    <row r="26" spans="1:3" x14ac:dyDescent="0.25">
      <c r="A26" s="3">
        <v>441928752</v>
      </c>
      <c r="B26" s="9" t="str">
        <f t="shared" si="0"/>
        <v>NÃO RESTRIÇÃO</v>
      </c>
      <c r="C26">
        <v>0.85769358741754165</v>
      </c>
    </row>
    <row r="27" spans="1:3" x14ac:dyDescent="0.25">
      <c r="A27" s="3">
        <v>441928753</v>
      </c>
      <c r="B27" s="9" t="str">
        <f t="shared" si="0"/>
        <v>NÃO RESTRIÇÃO</v>
      </c>
      <c r="C27">
        <v>0.86606323987232936</v>
      </c>
    </row>
    <row r="28" spans="1:3" x14ac:dyDescent="0.25">
      <c r="A28" s="3">
        <v>441928754</v>
      </c>
      <c r="B28" s="9" t="str">
        <f t="shared" si="0"/>
        <v>NÃO RESTRIÇÃO</v>
      </c>
      <c r="C28">
        <v>0.67003622125330442</v>
      </c>
    </row>
    <row r="29" spans="1:3" x14ac:dyDescent="0.25">
      <c r="A29" s="3">
        <v>441928755</v>
      </c>
      <c r="B29" s="10" t="str">
        <f t="shared" si="0"/>
        <v>RESTRIÇÃO</v>
      </c>
      <c r="C29">
        <v>6.2857032968721693E-3</v>
      </c>
    </row>
    <row r="30" spans="1:3" x14ac:dyDescent="0.25">
      <c r="A30" s="3">
        <v>441928756</v>
      </c>
      <c r="B30" s="10" t="str">
        <f t="shared" si="0"/>
        <v>RESTRIÇÃO</v>
      </c>
      <c r="C30">
        <v>0.27504237216258642</v>
      </c>
    </row>
    <row r="31" spans="1:3" x14ac:dyDescent="0.25">
      <c r="A31" s="3">
        <v>441928757</v>
      </c>
      <c r="B31" s="10" t="str">
        <f t="shared" si="0"/>
        <v>RESTRIÇÃO</v>
      </c>
      <c r="C31">
        <v>0.16017277377080752</v>
      </c>
    </row>
    <row r="32" spans="1:3" x14ac:dyDescent="0.25">
      <c r="A32" s="3">
        <v>441928758</v>
      </c>
      <c r="B32" s="9" t="str">
        <f t="shared" si="0"/>
        <v>NÃO RESTRIÇÃO</v>
      </c>
      <c r="C32">
        <v>0.77737364613835069</v>
      </c>
    </row>
    <row r="33" spans="1:3" x14ac:dyDescent="0.25">
      <c r="A33" s="3">
        <v>441928759</v>
      </c>
      <c r="B33" s="10" t="str">
        <f t="shared" si="0"/>
        <v>RESTRIÇÃO</v>
      </c>
      <c r="C33">
        <v>7.4733543225371735E-2</v>
      </c>
    </row>
    <row r="34" spans="1:3" x14ac:dyDescent="0.25">
      <c r="A34" s="3">
        <v>441928760</v>
      </c>
      <c r="B34" s="9" t="str">
        <f t="shared" si="0"/>
        <v>NÃO RESTRIÇÃO</v>
      </c>
      <c r="C34">
        <v>0.912075348758277</v>
      </c>
    </row>
    <row r="35" spans="1:3" x14ac:dyDescent="0.25">
      <c r="A35" s="3">
        <v>441928761</v>
      </c>
      <c r="B35" s="9" t="str">
        <f t="shared" si="0"/>
        <v>NÃO RESTRIÇÃO</v>
      </c>
      <c r="C35">
        <v>0.77486097108774765</v>
      </c>
    </row>
    <row r="36" spans="1:3" x14ac:dyDescent="0.25">
      <c r="A36" s="3">
        <v>441928762</v>
      </c>
      <c r="B36" s="9" t="str">
        <f t="shared" si="0"/>
        <v>NÃO RESTRIÇÃO</v>
      </c>
      <c r="C36">
        <v>0.70321650398702251</v>
      </c>
    </row>
    <row r="37" spans="1:3" x14ac:dyDescent="0.25">
      <c r="A37" s="3">
        <v>441928763</v>
      </c>
      <c r="B37" s="10" t="str">
        <f t="shared" si="0"/>
        <v>RESTRIÇÃO</v>
      </c>
      <c r="C37">
        <v>0.47491640614467112</v>
      </c>
    </row>
    <row r="38" spans="1:3" x14ac:dyDescent="0.25">
      <c r="A38" s="3">
        <v>441928764</v>
      </c>
      <c r="B38" s="9" t="str">
        <f t="shared" si="0"/>
        <v>NÃO RESTRIÇÃO</v>
      </c>
      <c r="C38">
        <v>0.87785014434728481</v>
      </c>
    </row>
    <row r="39" spans="1:3" x14ac:dyDescent="0.25">
      <c r="A39" s="3">
        <v>441928765</v>
      </c>
      <c r="B39" s="10" t="str">
        <f t="shared" si="0"/>
        <v>RESTRIÇÃO</v>
      </c>
      <c r="C39">
        <v>0.44083690150783605</v>
      </c>
    </row>
    <row r="40" spans="1:3" x14ac:dyDescent="0.25">
      <c r="A40" s="3">
        <v>441928766</v>
      </c>
      <c r="B40" s="9" t="str">
        <f t="shared" si="0"/>
        <v>NÃO RESTRIÇÃO</v>
      </c>
      <c r="C40">
        <v>0.59288370935830303</v>
      </c>
    </row>
    <row r="41" spans="1:3" x14ac:dyDescent="0.25">
      <c r="A41" s="3">
        <v>441928767</v>
      </c>
      <c r="B41" s="9" t="str">
        <f t="shared" si="0"/>
        <v>NÃO RESTRIÇÃO</v>
      </c>
      <c r="C41">
        <v>0.55962791593014249</v>
      </c>
    </row>
    <row r="42" spans="1:3" x14ac:dyDescent="0.25">
      <c r="A42" s="3">
        <v>441928768</v>
      </c>
      <c r="B42" s="9" t="str">
        <f t="shared" si="0"/>
        <v>NÃO RESTRIÇÃO</v>
      </c>
      <c r="C42">
        <v>0.51052586689300017</v>
      </c>
    </row>
    <row r="43" spans="1:3" x14ac:dyDescent="0.25">
      <c r="A43" s="3">
        <v>441928769</v>
      </c>
      <c r="B43" s="9" t="str">
        <f t="shared" si="0"/>
        <v>NÃO RESTRIÇÃO</v>
      </c>
      <c r="C43">
        <v>0.5023061239884673</v>
      </c>
    </row>
    <row r="44" spans="1:3" x14ac:dyDescent="0.25">
      <c r="A44" s="3">
        <v>441928770</v>
      </c>
      <c r="B44" s="10" t="str">
        <f t="shared" si="0"/>
        <v>RESTRIÇÃO</v>
      </c>
      <c r="C44">
        <v>0.47959159014013475</v>
      </c>
    </row>
    <row r="45" spans="1:3" x14ac:dyDescent="0.25">
      <c r="A45" s="3">
        <v>441928771</v>
      </c>
      <c r="B45" s="10" t="str">
        <f t="shared" si="0"/>
        <v>RESTRIÇÃO</v>
      </c>
      <c r="C45">
        <v>0.31495329886962242</v>
      </c>
    </row>
    <row r="46" spans="1:3" x14ac:dyDescent="0.25">
      <c r="A46" s="3">
        <v>441928772</v>
      </c>
      <c r="B46" s="9" t="str">
        <f t="shared" si="0"/>
        <v>NÃO RESTRIÇÃO</v>
      </c>
      <c r="C46">
        <v>0.72157802674542193</v>
      </c>
    </row>
    <row r="47" spans="1:3" x14ac:dyDescent="0.25">
      <c r="A47" s="3">
        <v>441928773</v>
      </c>
      <c r="B47" s="10" t="str">
        <f t="shared" si="0"/>
        <v>RESTRIÇÃO</v>
      </c>
      <c r="C47">
        <v>0.11176832412364635</v>
      </c>
    </row>
    <row r="48" spans="1:3" x14ac:dyDescent="0.25">
      <c r="A48" s="3">
        <v>441928774</v>
      </c>
      <c r="B48" s="10" t="str">
        <f t="shared" si="0"/>
        <v>RESTRIÇÃO</v>
      </c>
      <c r="C48">
        <v>0.35523563799172864</v>
      </c>
    </row>
    <row r="49" spans="1:3" x14ac:dyDescent="0.25">
      <c r="A49" s="3">
        <v>441928775</v>
      </c>
      <c r="B49" s="10" t="str">
        <f t="shared" si="0"/>
        <v>RESTRIÇÃO</v>
      </c>
      <c r="C49">
        <v>0.14223145993425756</v>
      </c>
    </row>
    <row r="50" spans="1:3" x14ac:dyDescent="0.25">
      <c r="A50" s="3">
        <v>441928776</v>
      </c>
      <c r="B50" s="9" t="str">
        <f t="shared" si="0"/>
        <v>NÃO RESTRIÇÃO</v>
      </c>
      <c r="C50">
        <v>0.95309396424322279</v>
      </c>
    </row>
    <row r="51" spans="1:3" x14ac:dyDescent="0.25">
      <c r="A51" s="3">
        <v>441928777</v>
      </c>
      <c r="B51" s="10" t="str">
        <f t="shared" si="0"/>
        <v>RESTRIÇÃO</v>
      </c>
      <c r="C51">
        <v>0.3221103798697238</v>
      </c>
    </row>
    <row r="52" spans="1:3" x14ac:dyDescent="0.25">
      <c r="A52" s="3">
        <v>441928778</v>
      </c>
      <c r="B52" s="10" t="str">
        <f t="shared" si="0"/>
        <v>RESTRIÇÃO</v>
      </c>
      <c r="C52">
        <v>0.34801249097757381</v>
      </c>
    </row>
    <row r="53" spans="1:3" x14ac:dyDescent="0.25">
      <c r="A53" s="3">
        <v>441928779</v>
      </c>
      <c r="B53" s="10" t="str">
        <f t="shared" si="0"/>
        <v>RESTRIÇÃO</v>
      </c>
      <c r="C53">
        <v>0.3036472291067297</v>
      </c>
    </row>
    <row r="54" spans="1:3" x14ac:dyDescent="0.25">
      <c r="A54" s="3">
        <v>441928780</v>
      </c>
      <c r="B54" s="10" t="str">
        <f t="shared" si="0"/>
        <v>RESTRIÇÃO</v>
      </c>
      <c r="C54">
        <v>0.216059560303559</v>
      </c>
    </row>
    <row r="55" spans="1:3" x14ac:dyDescent="0.25">
      <c r="A55" s="3">
        <v>441928781</v>
      </c>
      <c r="B55" s="10" t="str">
        <f t="shared" si="0"/>
        <v>RESTRIÇÃO</v>
      </c>
      <c r="C55">
        <v>0.11546866860366145</v>
      </c>
    </row>
    <row r="56" spans="1:3" x14ac:dyDescent="0.25">
      <c r="A56" s="3">
        <v>441928782</v>
      </c>
      <c r="B56" s="10" t="str">
        <f t="shared" si="0"/>
        <v>RESTRIÇÃO</v>
      </c>
      <c r="C56">
        <v>3.100848693701308E-3</v>
      </c>
    </row>
    <row r="57" spans="1:3" x14ac:dyDescent="0.25">
      <c r="A57" s="3">
        <v>441928783</v>
      </c>
      <c r="B57" s="10" t="str">
        <f t="shared" si="0"/>
        <v>RESTRIÇÃO</v>
      </c>
      <c r="C57">
        <v>0.12496180091284548</v>
      </c>
    </row>
    <row r="58" spans="1:3" x14ac:dyDescent="0.25">
      <c r="A58" s="3">
        <v>441928784</v>
      </c>
      <c r="B58" s="9" t="str">
        <f t="shared" si="0"/>
        <v>NÃO RESTRIÇÃO</v>
      </c>
      <c r="C58">
        <v>0.82753916315311482</v>
      </c>
    </row>
    <row r="59" spans="1:3" x14ac:dyDescent="0.25">
      <c r="A59" s="3">
        <v>441928785</v>
      </c>
      <c r="B59" s="9" t="str">
        <f t="shared" si="0"/>
        <v>NÃO RESTRIÇÃO</v>
      </c>
      <c r="C59">
        <v>0.57309619349682117</v>
      </c>
    </row>
    <row r="60" spans="1:3" x14ac:dyDescent="0.25">
      <c r="A60" s="3">
        <v>441928786</v>
      </c>
      <c r="B60" s="10" t="str">
        <f t="shared" si="0"/>
        <v>RESTRIÇÃO</v>
      </c>
      <c r="C60">
        <v>0.18319982072910368</v>
      </c>
    </row>
    <row r="61" spans="1:3" x14ac:dyDescent="0.25">
      <c r="A61" s="3">
        <v>441928787</v>
      </c>
      <c r="B61" s="10" t="str">
        <f>IF($C61&lt; 0.5,$D$2,$D$3)</f>
        <v>RESTRIÇÃO</v>
      </c>
      <c r="C61">
        <v>0.40768529154802269</v>
      </c>
    </row>
    <row r="62" spans="1:3" x14ac:dyDescent="0.25">
      <c r="A62" s="3">
        <v>441928788</v>
      </c>
      <c r="B62" s="9" t="str">
        <f t="shared" si="0"/>
        <v>NÃO RESTRIÇÃO</v>
      </c>
      <c r="C62">
        <v>0.56290141152084572</v>
      </c>
    </row>
    <row r="63" spans="1:3" x14ac:dyDescent="0.25">
      <c r="A63" s="3">
        <v>441928789</v>
      </c>
      <c r="B63" s="10" t="str">
        <f t="shared" si="0"/>
        <v>RESTRIÇÃO</v>
      </c>
      <c r="C63">
        <v>0.26087403505139273</v>
      </c>
    </row>
    <row r="64" spans="1:3" x14ac:dyDescent="0.25">
      <c r="A64" s="3">
        <v>441928790</v>
      </c>
      <c r="B64" s="10" t="str">
        <f t="shared" si="0"/>
        <v>RESTRIÇÃO</v>
      </c>
      <c r="C64">
        <v>0.36640375531548497</v>
      </c>
    </row>
    <row r="65" spans="1:3" x14ac:dyDescent="0.25">
      <c r="A65" s="3">
        <v>441928791</v>
      </c>
      <c r="B65" s="9" t="str">
        <f t="shared" si="0"/>
        <v>NÃO RESTRIÇÃO</v>
      </c>
      <c r="C65">
        <v>0.60492829749134258</v>
      </c>
    </row>
    <row r="66" spans="1:3" x14ac:dyDescent="0.25">
      <c r="A66" s="3">
        <v>441928792</v>
      </c>
      <c r="B66" s="10" t="str">
        <f t="shared" si="0"/>
        <v>RESTRIÇÃO</v>
      </c>
      <c r="C66">
        <v>0.11762740998516819</v>
      </c>
    </row>
    <row r="67" spans="1:3" x14ac:dyDescent="0.25">
      <c r="A67" s="3">
        <v>441928793</v>
      </c>
      <c r="B67" s="9" t="str">
        <f t="shared" ref="B67:B130" si="1">IF($C67&lt; 0.5,$D$2,$D$3)</f>
        <v>NÃO RESTRIÇÃO</v>
      </c>
      <c r="C67">
        <v>0.88501174602675969</v>
      </c>
    </row>
    <row r="68" spans="1:3" x14ac:dyDescent="0.25">
      <c r="A68" s="3">
        <v>441928794</v>
      </c>
      <c r="B68" s="10" t="str">
        <f t="shared" si="1"/>
        <v>RESTRIÇÃO</v>
      </c>
      <c r="C68">
        <v>0.22716062507431922</v>
      </c>
    </row>
    <row r="69" spans="1:3" x14ac:dyDescent="0.25">
      <c r="A69" s="3">
        <v>441928795</v>
      </c>
      <c r="B69" s="9" t="str">
        <f t="shared" si="1"/>
        <v>NÃO RESTRIÇÃO</v>
      </c>
      <c r="C69">
        <v>0.90375591583182258</v>
      </c>
    </row>
    <row r="70" spans="1:3" x14ac:dyDescent="0.25">
      <c r="A70" s="3">
        <v>441928796</v>
      </c>
      <c r="B70" s="10" t="str">
        <f t="shared" si="1"/>
        <v>RESTRIÇÃO</v>
      </c>
      <c r="C70">
        <v>0.43925944852439303</v>
      </c>
    </row>
    <row r="71" spans="1:3" x14ac:dyDescent="0.25">
      <c r="A71" s="3">
        <v>441928797</v>
      </c>
      <c r="B71" s="9" t="str">
        <f t="shared" si="1"/>
        <v>NÃO RESTRIÇÃO</v>
      </c>
      <c r="C71">
        <v>0.58246248509830112</v>
      </c>
    </row>
    <row r="72" spans="1:3" x14ac:dyDescent="0.25">
      <c r="A72" s="3">
        <v>441928798</v>
      </c>
      <c r="B72" s="9" t="str">
        <f t="shared" si="1"/>
        <v>NÃO RESTRIÇÃO</v>
      </c>
      <c r="C72">
        <v>0.85097932216484562</v>
      </c>
    </row>
    <row r="73" spans="1:3" x14ac:dyDescent="0.25">
      <c r="A73" s="3">
        <v>441928799</v>
      </c>
      <c r="B73" s="9" t="str">
        <f t="shared" si="1"/>
        <v>NÃO RESTRIÇÃO</v>
      </c>
      <c r="C73">
        <v>0.84614391696467017</v>
      </c>
    </row>
    <row r="74" spans="1:3" x14ac:dyDescent="0.25">
      <c r="A74" s="3">
        <v>441928800</v>
      </c>
      <c r="B74" s="10" t="str">
        <f t="shared" si="1"/>
        <v>RESTRIÇÃO</v>
      </c>
      <c r="C74">
        <v>0.18276081012072964</v>
      </c>
    </row>
    <row r="75" spans="1:3" x14ac:dyDescent="0.25">
      <c r="A75" s="3">
        <v>441928801</v>
      </c>
      <c r="B75" s="9" t="str">
        <f t="shared" si="1"/>
        <v>NÃO RESTRIÇÃO</v>
      </c>
      <c r="C75">
        <v>0.80893407363944814</v>
      </c>
    </row>
    <row r="76" spans="1:3" x14ac:dyDescent="0.25">
      <c r="A76" s="3">
        <v>441928802</v>
      </c>
      <c r="B76" s="10" t="str">
        <f t="shared" si="1"/>
        <v>RESTRIÇÃO</v>
      </c>
      <c r="C76">
        <v>0.20217210696535981</v>
      </c>
    </row>
    <row r="77" spans="1:3" x14ac:dyDescent="0.25">
      <c r="A77" s="3">
        <v>441928803</v>
      </c>
      <c r="B77" s="10" t="str">
        <f t="shared" si="1"/>
        <v>RESTRIÇÃO</v>
      </c>
      <c r="C77">
        <v>0.3287058977835543</v>
      </c>
    </row>
    <row r="78" spans="1:3" x14ac:dyDescent="0.25">
      <c r="A78" s="3">
        <v>441928804</v>
      </c>
      <c r="B78" s="9" t="str">
        <f t="shared" si="1"/>
        <v>NÃO RESTRIÇÃO</v>
      </c>
      <c r="C78">
        <v>0.83806957649813074</v>
      </c>
    </row>
    <row r="79" spans="1:3" x14ac:dyDescent="0.25">
      <c r="A79" s="3">
        <v>441928805</v>
      </c>
      <c r="B79" s="9" t="str">
        <f t="shared" si="1"/>
        <v>NÃO RESTRIÇÃO</v>
      </c>
      <c r="C79">
        <v>0.75467334246539841</v>
      </c>
    </row>
    <row r="80" spans="1:3" x14ac:dyDescent="0.25">
      <c r="A80" s="3">
        <v>441928806</v>
      </c>
      <c r="B80" s="10" t="str">
        <f t="shared" si="1"/>
        <v>RESTRIÇÃO</v>
      </c>
      <c r="C80">
        <v>0.41678810276130474</v>
      </c>
    </row>
    <row r="81" spans="1:3" x14ac:dyDescent="0.25">
      <c r="A81" s="3">
        <v>441928807</v>
      </c>
      <c r="B81" s="10" t="str">
        <f t="shared" si="1"/>
        <v>RESTRIÇÃO</v>
      </c>
      <c r="C81">
        <v>0.13648063483721629</v>
      </c>
    </row>
    <row r="82" spans="1:3" x14ac:dyDescent="0.25">
      <c r="A82" s="3">
        <v>441928808</v>
      </c>
      <c r="B82" s="10" t="str">
        <f t="shared" si="1"/>
        <v>RESTRIÇÃO</v>
      </c>
      <c r="C82">
        <v>0.36217171586051322</v>
      </c>
    </row>
    <row r="83" spans="1:3" x14ac:dyDescent="0.25">
      <c r="A83" s="3">
        <v>441928809</v>
      </c>
      <c r="B83" s="10" t="str">
        <f t="shared" si="1"/>
        <v>RESTRIÇÃO</v>
      </c>
      <c r="C83">
        <v>0.29438113439522173</v>
      </c>
    </row>
    <row r="84" spans="1:3" x14ac:dyDescent="0.25">
      <c r="A84" s="3">
        <v>441928810</v>
      </c>
      <c r="B84" s="9" t="str">
        <f t="shared" si="1"/>
        <v>NÃO RESTRIÇÃO</v>
      </c>
      <c r="C84">
        <v>0.70200704249716983</v>
      </c>
    </row>
    <row r="85" spans="1:3" x14ac:dyDescent="0.25">
      <c r="A85" s="3">
        <v>441928811</v>
      </c>
      <c r="B85" s="9" t="str">
        <f t="shared" si="1"/>
        <v>NÃO RESTRIÇÃO</v>
      </c>
      <c r="C85">
        <v>0.70089204146067852</v>
      </c>
    </row>
    <row r="86" spans="1:3" x14ac:dyDescent="0.25">
      <c r="A86" s="3">
        <v>441928812</v>
      </c>
      <c r="B86" s="9" t="str">
        <f t="shared" si="1"/>
        <v>NÃO RESTRIÇÃO</v>
      </c>
      <c r="C86">
        <v>0.66333515192174552</v>
      </c>
    </row>
    <row r="87" spans="1:3" x14ac:dyDescent="0.25">
      <c r="A87" s="3">
        <v>441928813</v>
      </c>
      <c r="B87" s="9" t="str">
        <f t="shared" si="1"/>
        <v>NÃO RESTRIÇÃO</v>
      </c>
      <c r="C87">
        <v>0.9989600051653823</v>
      </c>
    </row>
    <row r="88" spans="1:3" x14ac:dyDescent="0.25">
      <c r="A88" s="3">
        <v>441928814</v>
      </c>
      <c r="B88" s="9" t="str">
        <f t="shared" si="1"/>
        <v>NÃO RESTRIÇÃO</v>
      </c>
      <c r="C88">
        <v>0.66301970274622102</v>
      </c>
    </row>
    <row r="89" spans="1:3" x14ac:dyDescent="0.25">
      <c r="A89" s="3">
        <v>441928815</v>
      </c>
      <c r="B89" s="9" t="str">
        <f t="shared" si="1"/>
        <v>NÃO RESTRIÇÃO</v>
      </c>
      <c r="C89">
        <v>0.59160068841801294</v>
      </c>
    </row>
    <row r="90" spans="1:3" x14ac:dyDescent="0.25">
      <c r="A90" s="3">
        <v>441928816</v>
      </c>
      <c r="B90" s="9" t="str">
        <f t="shared" si="1"/>
        <v>NÃO RESTRIÇÃO</v>
      </c>
      <c r="C90">
        <v>0.90613672199084594</v>
      </c>
    </row>
    <row r="91" spans="1:3" x14ac:dyDescent="0.25">
      <c r="A91" s="3">
        <v>441928817</v>
      </c>
      <c r="B91" s="10" t="str">
        <f t="shared" si="1"/>
        <v>RESTRIÇÃO</v>
      </c>
      <c r="C91">
        <v>0.2240088721611434</v>
      </c>
    </row>
    <row r="92" spans="1:3" x14ac:dyDescent="0.25">
      <c r="A92" s="3">
        <v>441928818</v>
      </c>
      <c r="B92" s="9" t="str">
        <f t="shared" si="1"/>
        <v>NÃO RESTRIÇÃO</v>
      </c>
      <c r="C92">
        <v>0.73037933990707427</v>
      </c>
    </row>
    <row r="93" spans="1:3" x14ac:dyDescent="0.25">
      <c r="A93" s="3">
        <v>441928819</v>
      </c>
      <c r="B93" s="10" t="str">
        <f t="shared" si="1"/>
        <v>RESTRIÇÃO</v>
      </c>
      <c r="C93">
        <v>0.33100282538355674</v>
      </c>
    </row>
    <row r="94" spans="1:3" x14ac:dyDescent="0.25">
      <c r="A94" s="3">
        <v>441928820</v>
      </c>
      <c r="B94" s="9" t="str">
        <f t="shared" si="1"/>
        <v>NÃO RESTRIÇÃO</v>
      </c>
      <c r="C94">
        <v>0.70383096719420579</v>
      </c>
    </row>
    <row r="95" spans="1:3" x14ac:dyDescent="0.25">
      <c r="A95" s="3">
        <v>441928821</v>
      </c>
      <c r="B95" s="9" t="str">
        <f t="shared" si="1"/>
        <v>NÃO RESTRIÇÃO</v>
      </c>
      <c r="C95">
        <v>0.81606342077769334</v>
      </c>
    </row>
    <row r="96" spans="1:3" x14ac:dyDescent="0.25">
      <c r="A96" s="3">
        <v>441928822</v>
      </c>
      <c r="B96" s="10" t="str">
        <f t="shared" si="1"/>
        <v>RESTRIÇÃO</v>
      </c>
      <c r="C96">
        <v>0.40320403964245921</v>
      </c>
    </row>
    <row r="97" spans="1:3" x14ac:dyDescent="0.25">
      <c r="A97" s="3">
        <v>441928823</v>
      </c>
      <c r="B97" s="10" t="str">
        <f t="shared" si="1"/>
        <v>RESTRIÇÃO</v>
      </c>
      <c r="C97">
        <v>0.46005681558699374</v>
      </c>
    </row>
    <row r="98" spans="1:3" x14ac:dyDescent="0.25">
      <c r="A98" s="3">
        <v>441928824</v>
      </c>
      <c r="B98" s="9" t="str">
        <f t="shared" si="1"/>
        <v>NÃO RESTRIÇÃO</v>
      </c>
      <c r="C98">
        <v>0.76466969716721145</v>
      </c>
    </row>
    <row r="99" spans="1:3" x14ac:dyDescent="0.25">
      <c r="A99" s="3">
        <v>441928825</v>
      </c>
      <c r="B99" s="10" t="str">
        <f t="shared" si="1"/>
        <v>RESTRIÇÃO</v>
      </c>
      <c r="C99">
        <v>0.45395611490488685</v>
      </c>
    </row>
    <row r="100" spans="1:3" x14ac:dyDescent="0.25">
      <c r="A100" s="3">
        <v>441928826</v>
      </c>
      <c r="B100" s="10" t="str">
        <f t="shared" si="1"/>
        <v>RESTRIÇÃO</v>
      </c>
      <c r="C100">
        <v>8.389281552648975E-2</v>
      </c>
    </row>
    <row r="101" spans="1:3" x14ac:dyDescent="0.25">
      <c r="A101" s="3">
        <v>441928827</v>
      </c>
      <c r="B101" s="10" t="str">
        <f t="shared" si="1"/>
        <v>RESTRIÇÃO</v>
      </c>
      <c r="C101">
        <v>0.43109666568055804</v>
      </c>
    </row>
    <row r="102" spans="1:3" x14ac:dyDescent="0.25">
      <c r="A102" s="3">
        <v>441928828</v>
      </c>
      <c r="B102" s="9" t="str">
        <f t="shared" si="1"/>
        <v>NÃO RESTRIÇÃO</v>
      </c>
      <c r="C102">
        <v>0.87601722017501171</v>
      </c>
    </row>
    <row r="103" spans="1:3" x14ac:dyDescent="0.25">
      <c r="A103" s="3">
        <v>441928829</v>
      </c>
      <c r="B103" s="9" t="str">
        <f t="shared" si="1"/>
        <v>NÃO RESTRIÇÃO</v>
      </c>
      <c r="C103">
        <v>0.7665109549185356</v>
      </c>
    </row>
    <row r="104" spans="1:3" x14ac:dyDescent="0.25">
      <c r="A104" s="3">
        <v>441928830</v>
      </c>
      <c r="B104" s="10" t="str">
        <f t="shared" si="1"/>
        <v>RESTRIÇÃO</v>
      </c>
      <c r="C104">
        <v>0.43903513055792054</v>
      </c>
    </row>
    <row r="105" spans="1:3" x14ac:dyDescent="0.25">
      <c r="A105" s="3">
        <v>441928831</v>
      </c>
      <c r="B105" s="10" t="str">
        <f t="shared" si="1"/>
        <v>RESTRIÇÃO</v>
      </c>
      <c r="C105">
        <v>0.27123428090073143</v>
      </c>
    </row>
    <row r="106" spans="1:3" x14ac:dyDescent="0.25">
      <c r="A106" s="3">
        <v>441928832</v>
      </c>
      <c r="B106" s="9" t="str">
        <f t="shared" si="1"/>
        <v>NÃO RESTRIÇÃO</v>
      </c>
      <c r="C106">
        <v>0.89217207044699021</v>
      </c>
    </row>
    <row r="107" spans="1:3" x14ac:dyDescent="0.25">
      <c r="A107" s="3">
        <v>441928833</v>
      </c>
      <c r="B107" s="10" t="str">
        <f t="shared" si="1"/>
        <v>RESTRIÇÃO</v>
      </c>
      <c r="C107">
        <v>0.31758598978003461</v>
      </c>
    </row>
    <row r="108" spans="1:3" x14ac:dyDescent="0.25">
      <c r="A108" s="3">
        <v>441928834</v>
      </c>
      <c r="B108" s="9" t="str">
        <f t="shared" si="1"/>
        <v>NÃO RESTRIÇÃO</v>
      </c>
      <c r="C108">
        <v>0.62462399692184611</v>
      </c>
    </row>
    <row r="109" spans="1:3" x14ac:dyDescent="0.25">
      <c r="A109" s="3">
        <v>441928835</v>
      </c>
      <c r="B109" s="9" t="str">
        <f t="shared" si="1"/>
        <v>NÃO RESTRIÇÃO</v>
      </c>
      <c r="C109">
        <v>0.53698425464049548</v>
      </c>
    </row>
    <row r="110" spans="1:3" x14ac:dyDescent="0.25">
      <c r="A110" s="3">
        <v>441928836</v>
      </c>
      <c r="B110" s="9" t="str">
        <f t="shared" si="1"/>
        <v>NÃO RESTRIÇÃO</v>
      </c>
      <c r="C110">
        <v>0.63917755483687244</v>
      </c>
    </row>
    <row r="111" spans="1:3" x14ac:dyDescent="0.25">
      <c r="A111" s="3">
        <v>441928837</v>
      </c>
      <c r="B111" s="9" t="str">
        <f t="shared" si="1"/>
        <v>NÃO RESTRIÇÃO</v>
      </c>
      <c r="C111">
        <v>0.80967997126432856</v>
      </c>
    </row>
    <row r="112" spans="1:3" x14ac:dyDescent="0.25">
      <c r="A112" s="3">
        <v>441928838</v>
      </c>
      <c r="B112" s="9" t="str">
        <f t="shared" si="1"/>
        <v>NÃO RESTRIÇÃO</v>
      </c>
      <c r="C112">
        <v>0.79710533556147656</v>
      </c>
    </row>
    <row r="113" spans="1:3" x14ac:dyDescent="0.25">
      <c r="A113" s="3">
        <v>441928839</v>
      </c>
      <c r="B113" s="9" t="str">
        <f t="shared" si="1"/>
        <v>NÃO RESTRIÇÃO</v>
      </c>
      <c r="C113">
        <v>0.77676676137693224</v>
      </c>
    </row>
    <row r="114" spans="1:3" x14ac:dyDescent="0.25">
      <c r="A114" s="3">
        <v>441928840</v>
      </c>
      <c r="B114" s="10" t="str">
        <f t="shared" si="1"/>
        <v>RESTRIÇÃO</v>
      </c>
      <c r="C114">
        <v>3.2339823812489676E-2</v>
      </c>
    </row>
    <row r="115" spans="1:3" x14ac:dyDescent="0.25">
      <c r="A115" s="3">
        <v>441928841</v>
      </c>
      <c r="B115" s="10" t="str">
        <f t="shared" si="1"/>
        <v>RESTRIÇÃO</v>
      </c>
      <c r="C115">
        <v>4.0864837160214273E-2</v>
      </c>
    </row>
    <row r="116" spans="1:3" x14ac:dyDescent="0.25">
      <c r="A116" s="3">
        <v>441928842</v>
      </c>
      <c r="B116" s="10" t="str">
        <f t="shared" si="1"/>
        <v>RESTRIÇÃO</v>
      </c>
      <c r="C116">
        <v>0.17491143113802377</v>
      </c>
    </row>
    <row r="117" spans="1:3" x14ac:dyDescent="0.25">
      <c r="A117" s="3">
        <v>441928843</v>
      </c>
      <c r="B117" s="9" t="str">
        <f t="shared" si="1"/>
        <v>NÃO RESTRIÇÃO</v>
      </c>
      <c r="C117">
        <v>0.84198353495090184</v>
      </c>
    </row>
    <row r="118" spans="1:3" x14ac:dyDescent="0.25">
      <c r="A118" s="3">
        <v>441928844</v>
      </c>
      <c r="B118" s="10" t="str">
        <f t="shared" si="1"/>
        <v>RESTRIÇÃO</v>
      </c>
      <c r="C118">
        <v>0.46554436362832263</v>
      </c>
    </row>
    <row r="119" spans="1:3" x14ac:dyDescent="0.25">
      <c r="A119" s="3">
        <v>441928845</v>
      </c>
      <c r="B119" s="10" t="str">
        <f t="shared" si="1"/>
        <v>RESTRIÇÃO</v>
      </c>
      <c r="C119">
        <v>3.5115047246411457E-2</v>
      </c>
    </row>
    <row r="120" spans="1:3" x14ac:dyDescent="0.25">
      <c r="A120" s="3">
        <v>441928846</v>
      </c>
      <c r="B120" s="9" t="str">
        <f t="shared" si="1"/>
        <v>NÃO RESTRIÇÃO</v>
      </c>
      <c r="C120">
        <v>0.88484460444388102</v>
      </c>
    </row>
    <row r="121" spans="1:3" x14ac:dyDescent="0.25">
      <c r="A121" s="3">
        <v>441928847</v>
      </c>
      <c r="B121" s="10" t="str">
        <f t="shared" si="1"/>
        <v>RESTRIÇÃO</v>
      </c>
      <c r="C121">
        <v>0.45701971218364124</v>
      </c>
    </row>
    <row r="122" spans="1:3" x14ac:dyDescent="0.25">
      <c r="A122" s="3">
        <v>441928848</v>
      </c>
      <c r="B122" s="9" t="str">
        <f t="shared" si="1"/>
        <v>NÃO RESTRIÇÃO</v>
      </c>
      <c r="C122">
        <v>0.59943724830642398</v>
      </c>
    </row>
    <row r="123" spans="1:3" x14ac:dyDescent="0.25">
      <c r="A123" s="3">
        <v>441928849</v>
      </c>
      <c r="B123" s="9" t="str">
        <f t="shared" si="1"/>
        <v>NÃO RESTRIÇÃO</v>
      </c>
      <c r="C123">
        <v>0.88730510398389884</v>
      </c>
    </row>
    <row r="124" spans="1:3" x14ac:dyDescent="0.25">
      <c r="A124" s="3">
        <v>441928850</v>
      </c>
      <c r="B124" s="10" t="str">
        <f t="shared" si="1"/>
        <v>RESTRIÇÃO</v>
      </c>
      <c r="C124">
        <v>8.9498944415489889E-2</v>
      </c>
    </row>
    <row r="125" spans="1:3" x14ac:dyDescent="0.25">
      <c r="A125" s="3">
        <v>441928851</v>
      </c>
      <c r="B125" s="9" t="str">
        <f t="shared" si="1"/>
        <v>NÃO RESTRIÇÃO</v>
      </c>
      <c r="C125">
        <v>0.81584810559564569</v>
      </c>
    </row>
    <row r="126" spans="1:3" x14ac:dyDescent="0.25">
      <c r="A126" s="3">
        <v>441928852</v>
      </c>
      <c r="B126" s="10" t="str">
        <f t="shared" si="1"/>
        <v>RESTRIÇÃO</v>
      </c>
      <c r="C126">
        <v>0.48753885921359852</v>
      </c>
    </row>
    <row r="127" spans="1:3" x14ac:dyDescent="0.25">
      <c r="A127" s="3">
        <v>441928853</v>
      </c>
      <c r="B127" s="10" t="str">
        <f t="shared" si="1"/>
        <v>RESTRIÇÃO</v>
      </c>
      <c r="C127">
        <v>1.6691260273905328E-2</v>
      </c>
    </row>
    <row r="128" spans="1:3" x14ac:dyDescent="0.25">
      <c r="A128" s="3">
        <v>441928854</v>
      </c>
      <c r="B128" s="10" t="str">
        <f t="shared" si="1"/>
        <v>RESTRIÇÃO</v>
      </c>
      <c r="C128">
        <v>0.15628825909379862</v>
      </c>
    </row>
    <row r="129" spans="1:3" x14ac:dyDescent="0.25">
      <c r="A129" s="3">
        <v>441928855</v>
      </c>
      <c r="B129" s="9" t="str">
        <f t="shared" si="1"/>
        <v>NÃO RESTRIÇÃO</v>
      </c>
      <c r="C129">
        <v>0.67029119206985577</v>
      </c>
    </row>
    <row r="130" spans="1:3" x14ac:dyDescent="0.25">
      <c r="A130" s="3">
        <v>441928856</v>
      </c>
      <c r="B130" s="10" t="str">
        <f t="shared" si="1"/>
        <v>RESTRIÇÃO</v>
      </c>
      <c r="C130">
        <v>0.45451964258576882</v>
      </c>
    </row>
    <row r="131" spans="1:3" x14ac:dyDescent="0.25">
      <c r="A131" s="3">
        <v>441928857</v>
      </c>
      <c r="B131" s="10" t="str">
        <f t="shared" ref="B131:B145" si="2">IF($C131&lt; 0.5,$D$2,$D$3)</f>
        <v>RESTRIÇÃO</v>
      </c>
      <c r="C131">
        <v>0.30849034976081424</v>
      </c>
    </row>
    <row r="132" spans="1:3" x14ac:dyDescent="0.25">
      <c r="A132" s="3">
        <v>441928858</v>
      </c>
      <c r="B132" s="10" t="str">
        <f t="shared" si="2"/>
        <v>RESTRIÇÃO</v>
      </c>
      <c r="C132">
        <v>0.38538215604252901</v>
      </c>
    </row>
    <row r="133" spans="1:3" x14ac:dyDescent="0.25">
      <c r="A133" s="3">
        <v>441928859</v>
      </c>
      <c r="B133" s="9" t="str">
        <f t="shared" si="2"/>
        <v>NÃO RESTRIÇÃO</v>
      </c>
      <c r="C133">
        <v>0.5324165913208484</v>
      </c>
    </row>
    <row r="134" spans="1:3" x14ac:dyDescent="0.25">
      <c r="A134" s="3">
        <v>441928860</v>
      </c>
      <c r="B134" s="10" t="str">
        <f t="shared" si="2"/>
        <v>RESTRIÇÃO</v>
      </c>
      <c r="C134">
        <v>9.2211453997272375E-2</v>
      </c>
    </row>
    <row r="135" spans="1:3" x14ac:dyDescent="0.25">
      <c r="A135" s="3">
        <v>441928861</v>
      </c>
      <c r="B135" s="10" t="str">
        <f t="shared" si="2"/>
        <v>RESTRIÇÃO</v>
      </c>
      <c r="C135">
        <v>0.10628581953378802</v>
      </c>
    </row>
    <row r="136" spans="1:3" x14ac:dyDescent="0.25">
      <c r="A136" s="3">
        <v>441928862</v>
      </c>
      <c r="B136" s="9" t="str">
        <f t="shared" si="2"/>
        <v>NÃO RESTRIÇÃO</v>
      </c>
      <c r="C136">
        <v>0.57330123339268668</v>
      </c>
    </row>
    <row r="137" spans="1:3" x14ac:dyDescent="0.25">
      <c r="A137" s="3">
        <v>441928863</v>
      </c>
      <c r="B137" s="9" t="str">
        <f t="shared" si="2"/>
        <v>NÃO RESTRIÇÃO</v>
      </c>
      <c r="C137">
        <v>0.50089247002552362</v>
      </c>
    </row>
    <row r="138" spans="1:3" x14ac:dyDescent="0.25">
      <c r="A138" s="3">
        <v>441928864</v>
      </c>
      <c r="B138" s="10" t="str">
        <f t="shared" si="2"/>
        <v>RESTRIÇÃO</v>
      </c>
      <c r="C138">
        <v>0.30619400576849498</v>
      </c>
    </row>
    <row r="139" spans="1:3" x14ac:dyDescent="0.25">
      <c r="A139" s="3">
        <v>441928865</v>
      </c>
      <c r="B139" s="9" t="str">
        <f t="shared" si="2"/>
        <v>NÃO RESTRIÇÃO</v>
      </c>
      <c r="C139">
        <v>0.57591757341691729</v>
      </c>
    </row>
    <row r="140" spans="1:3" x14ac:dyDescent="0.25">
      <c r="A140" s="3">
        <v>441928866</v>
      </c>
      <c r="B140" s="10" t="str">
        <f t="shared" si="2"/>
        <v>RESTRIÇÃO</v>
      </c>
      <c r="C140">
        <v>0.28511330285852243</v>
      </c>
    </row>
    <row r="141" spans="1:3" x14ac:dyDescent="0.25">
      <c r="A141" s="3">
        <v>441928867</v>
      </c>
      <c r="B141" s="9" t="str">
        <f t="shared" si="2"/>
        <v>NÃO RESTRIÇÃO</v>
      </c>
      <c r="C141">
        <v>0.92670242260180757</v>
      </c>
    </row>
    <row r="142" spans="1:3" x14ac:dyDescent="0.25">
      <c r="A142" s="3">
        <v>441928868</v>
      </c>
      <c r="B142" s="9" t="str">
        <f t="shared" si="2"/>
        <v>NÃO RESTRIÇÃO</v>
      </c>
      <c r="C142">
        <v>0.82245778773867684</v>
      </c>
    </row>
    <row r="143" spans="1:3" x14ac:dyDescent="0.25">
      <c r="A143" s="3">
        <v>441928869</v>
      </c>
      <c r="B143" s="9" t="str">
        <f t="shared" si="2"/>
        <v>NÃO RESTRIÇÃO</v>
      </c>
      <c r="C143">
        <v>0.78529034399822661</v>
      </c>
    </row>
    <row r="144" spans="1:3" x14ac:dyDescent="0.25">
      <c r="A144" s="3">
        <v>441928870</v>
      </c>
      <c r="B144" s="10" t="str">
        <f t="shared" si="2"/>
        <v>RESTRIÇÃO</v>
      </c>
      <c r="C144">
        <v>0.37378801482799906</v>
      </c>
    </row>
    <row r="145" spans="1:3" ht="15.75" thickBot="1" x14ac:dyDescent="0.3">
      <c r="A145" s="4">
        <v>441928871</v>
      </c>
      <c r="B145" s="11" t="str">
        <f t="shared" si="2"/>
        <v>NÃO RESTRIÇÃO</v>
      </c>
      <c r="C145">
        <v>0.76827667220568829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D5"/>
  <sheetViews>
    <sheetView tabSelected="1" workbookViewId="0">
      <selection activeCell="C12" sqref="C12"/>
    </sheetView>
  </sheetViews>
  <sheetFormatPr defaultRowHeight="15" x14ac:dyDescent="0.25"/>
  <cols>
    <col min="1" max="1" width="14.5703125" bestFit="1" customWidth="1"/>
    <col min="2" max="2" width="15.85546875" bestFit="1" customWidth="1"/>
    <col min="3" max="3" width="11.28515625" bestFit="1" customWidth="1"/>
    <col min="4" max="4" width="15.5703125" bestFit="1" customWidth="1"/>
  </cols>
  <sheetData>
    <row r="1" spans="1:4" x14ac:dyDescent="0.25">
      <c r="A1" t="s">
        <v>11</v>
      </c>
      <c r="B1" t="s">
        <v>16</v>
      </c>
      <c r="C1" t="s">
        <v>17</v>
      </c>
      <c r="D1" t="s">
        <v>22</v>
      </c>
    </row>
    <row r="2" spans="1:4" x14ac:dyDescent="0.25">
      <c r="A2" t="s">
        <v>12</v>
      </c>
      <c r="B2" s="12">
        <v>43225</v>
      </c>
      <c r="C2" t="s">
        <v>18</v>
      </c>
      <c r="D2" t="s">
        <v>23</v>
      </c>
    </row>
    <row r="3" spans="1:4" x14ac:dyDescent="0.25">
      <c r="A3" t="s">
        <v>13</v>
      </c>
      <c r="B3" s="13">
        <v>43386</v>
      </c>
      <c r="C3" t="s">
        <v>19</v>
      </c>
      <c r="D3">
        <v>1000</v>
      </c>
    </row>
    <row r="4" spans="1:4" x14ac:dyDescent="0.25">
      <c r="A4" t="s">
        <v>14</v>
      </c>
      <c r="B4" s="13">
        <v>42602</v>
      </c>
      <c r="C4" t="s">
        <v>20</v>
      </c>
      <c r="D4">
        <v>3983</v>
      </c>
    </row>
    <row r="5" spans="1:4" x14ac:dyDescent="0.25">
      <c r="A5" t="s">
        <v>15</v>
      </c>
      <c r="B5" s="12">
        <v>42110</v>
      </c>
      <c r="C5" t="s">
        <v>21</v>
      </c>
      <c r="D5" t="s">
        <v>24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Planilha1</vt:lpstr>
      <vt:lpstr>Plan1</vt:lpstr>
      <vt:lpstr>Plan2</vt:lpstr>
      <vt:lpstr>Plan3</vt:lpstr>
      <vt:lpstr>Plan4</vt:lpstr>
      <vt:lpstr>Plan5</vt:lpstr>
      <vt:lpstr>Plan6</vt:lpstr>
      <vt:lpstr>Plan7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Ester Lara</dc:creator>
  <cp:lastModifiedBy>Ester Nascimento Lara Campos</cp:lastModifiedBy>
  <dcterms:created xsi:type="dcterms:W3CDTF">2018-09-22T14:30:44Z</dcterms:created>
  <dcterms:modified xsi:type="dcterms:W3CDTF">2018-09-22T18:06:29Z</dcterms:modified>
</cp:coreProperties>
</file>